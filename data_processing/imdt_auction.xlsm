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G:\내 드라이브\buyside_quant\011_AuctionHelper\작업\andy\"/>
    </mc:Choice>
  </mc:AlternateContent>
  <bookViews>
    <workbookView xWindow="0" yWindow="0" windowWidth="15315" windowHeight="540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A7" i="1"/>
</calcChain>
</file>

<file path=xl/sharedStrings.xml><?xml version="1.0" encoding="utf-8"?>
<sst xmlns="http://schemas.openxmlformats.org/spreadsheetml/2006/main" count="88" uniqueCount="49">
  <si>
    <t>코드</t>
  </si>
  <si>
    <t>조회건수</t>
  </si>
  <si>
    <t>일자</t>
  </si>
  <si>
    <t>조회기준</t>
  </si>
  <si>
    <t>정렬기준</t>
  </si>
  <si>
    <t>정렬</t>
  </si>
  <si>
    <t>BNDLISTKB001</t>
  </si>
  <si>
    <t>20210316</t>
  </si>
  <si>
    <t>-</t>
  </si>
  <si>
    <t>입찰일</t>
  </si>
  <si>
    <t>D</t>
  </si>
  <si>
    <t>명목-물가</t>
  </si>
  <si>
    <t>종목명</t>
  </si>
  <si>
    <t>입찰구분</t>
  </si>
  <si>
    <t>발행예정-합계</t>
  </si>
  <si>
    <t>발행예정-2년</t>
  </si>
  <si>
    <t>발행예정-3년</t>
  </si>
  <si>
    <t>발행예정-5년</t>
  </si>
  <si>
    <t>발행예정-10년</t>
  </si>
  <si>
    <t>발행예정-20년</t>
  </si>
  <si>
    <t>발행예정-30년</t>
  </si>
  <si>
    <t>발행예정-50년</t>
  </si>
  <si>
    <t>발행예정-교환</t>
  </si>
  <si>
    <t>낙찰-합계</t>
  </si>
  <si>
    <t>낙찰-경쟁</t>
  </si>
  <si>
    <t>낙찰-비경쟁</t>
  </si>
  <si>
    <t>교환-경쟁</t>
  </si>
  <si>
    <t>교환-조기환매</t>
  </si>
  <si>
    <t>낙찰-조기환매</t>
  </si>
  <si>
    <t>명목</t>
  </si>
  <si>
    <t>21-2</t>
  </si>
  <si>
    <t>통합</t>
  </si>
  <si>
    <t>20-8</t>
  </si>
  <si>
    <t>21-3</t>
  </si>
  <si>
    <t>19-8</t>
  </si>
  <si>
    <t>교환</t>
  </si>
  <si>
    <t>18-10</t>
  </si>
  <si>
    <t>15-6</t>
  </si>
  <si>
    <t>13-8</t>
  </si>
  <si>
    <t>10-7</t>
  </si>
  <si>
    <t>12-5</t>
  </si>
  <si>
    <t>20-9</t>
  </si>
  <si>
    <t>물가</t>
  </si>
  <si>
    <t>16-5</t>
  </si>
  <si>
    <t>20-5</t>
  </si>
  <si>
    <t>18-5</t>
  </si>
  <si>
    <t>21-1</t>
  </si>
  <si>
    <t>20-7</t>
  </si>
  <si>
    <t>005930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</si>
</sst>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rgb="FFDAE5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49" fontId="0" fillId="3" borderId="0" xfId="0" applyNumberFormat="1" applyFill="1">
      <alignment vertical="center"/>
    </xf>
    <xf numFmtId="14" fontId="0" fillId="0" borderId="0" xfId="0" applyNumberFormat="1">
      <alignment vertical="center"/>
    </xf>
    <xf numFmtId="14" fontId="0" fillId="0" borderId="0" xfId="0" quotePrefix="1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0</v>
        <stp/>
        <stp>T</stp>
        <stp>x1.3PY82</stp>
        <stp>90</stp>
        <stp>221502</stp>
        <tr r="A7" s="1"/>
      </tp>
      <tp>
        <v>71600</v>
        <stp/>
        <stp>P</stp>
        <stp>0</stp>
        <stp>STK</stp>
        <stp>005930</stp>
        <stp>현재가</stp>
        <stp/>
        <stp/>
        <tr r="B2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8"/>
  <sheetViews>
    <sheetView tabSelected="1" workbookViewId="0">
      <selection activeCell="F16" sqref="F16"/>
    </sheetView>
  </sheetViews>
  <sheetFormatPr defaultRowHeight="16.5" x14ac:dyDescent="0.3"/>
  <cols>
    <col min="1" max="1" width="14.625" customWidth="1"/>
    <col min="2" max="2" width="18.625" customWidth="1"/>
    <col min="3" max="3" width="10.625" customWidth="1"/>
    <col min="5" max="5" width="13.875" bestFit="1" customWidth="1"/>
    <col min="6" max="8" width="12.875" bestFit="1" customWidth="1"/>
    <col min="9" max="12" width="14" bestFit="1" customWidth="1"/>
    <col min="13" max="13" width="13.875" bestFit="1" customWidth="1"/>
    <col min="14" max="15" width="9.75" bestFit="1" customWidth="1"/>
    <col min="16" max="16" width="11.75" bestFit="1" customWidth="1"/>
    <col min="17" max="17" width="9.75" bestFit="1" customWidth="1"/>
    <col min="18" max="19" width="13.875" bestFit="1" customWidth="1"/>
  </cols>
  <sheetData>
    <row r="1" spans="1:19" x14ac:dyDescent="0.3">
      <c r="A1" s="1" t="s">
        <v>0</v>
      </c>
      <c r="B1" s="2" t="s">
        <v>6</v>
      </c>
    </row>
    <row r="2" spans="1:19" x14ac:dyDescent="0.3">
      <c r="A2" s="1" t="s">
        <v>1</v>
      </c>
      <c r="B2" s="2">
        <v>100</v>
      </c>
    </row>
    <row r="3" spans="1:19" x14ac:dyDescent="0.3">
      <c r="A3" s="1" t="s">
        <v>2</v>
      </c>
      <c r="B3" s="2" t="s">
        <v>7</v>
      </c>
    </row>
    <row r="4" spans="1:19" x14ac:dyDescent="0.3">
      <c r="A4" s="1" t="s">
        <v>3</v>
      </c>
      <c r="B4" s="2" t="s">
        <v>8</v>
      </c>
    </row>
    <row r="5" spans="1:19" x14ac:dyDescent="0.3">
      <c r="A5" s="1" t="s">
        <v>4</v>
      </c>
      <c r="B5" s="2" t="s">
        <v>9</v>
      </c>
    </row>
    <row r="6" spans="1:19" x14ac:dyDescent="0.3">
      <c r="A6" s="1" t="s">
        <v>5</v>
      </c>
      <c r="B6" s="2" t="s">
        <v>10</v>
      </c>
    </row>
    <row r="7" spans="1:19" x14ac:dyDescent="0.3">
      <c r="A7" t="str">
        <f>_xll.IMDT("입찰계획",B1,A8:S8,B2,B3,B4,B5,"sort="&amp;B6&amp;",DtFmt=1,TmFmt=1,Pos=20,Orient=V,Title=채권분류 입찰계획")</f>
        <v>채권분류 입찰계획</v>
      </c>
    </row>
    <row r="8" spans="1:19" x14ac:dyDescent="0.3">
      <c r="A8" s="1" t="s">
        <v>9</v>
      </c>
      <c r="B8" s="2" t="s">
        <v>11</v>
      </c>
      <c r="C8" s="2" t="s">
        <v>12</v>
      </c>
      <c r="D8" s="2" t="s">
        <v>13</v>
      </c>
      <c r="E8" s="2" t="s">
        <v>14</v>
      </c>
      <c r="F8" s="2" t="s">
        <v>15</v>
      </c>
      <c r="G8" s="2" t="s">
        <v>16</v>
      </c>
      <c r="H8" s="2" t="s">
        <v>17</v>
      </c>
      <c r="I8" s="2" t="s">
        <v>18</v>
      </c>
      <c r="J8" s="2" t="s">
        <v>19</v>
      </c>
      <c r="K8" s="2" t="s">
        <v>20</v>
      </c>
      <c r="L8" s="2" t="s">
        <v>21</v>
      </c>
      <c r="M8" s="2" t="s">
        <v>22</v>
      </c>
      <c r="N8" s="2" t="s">
        <v>23</v>
      </c>
      <c r="O8" s="2" t="s">
        <v>24</v>
      </c>
      <c r="P8" s="2" t="s">
        <v>25</v>
      </c>
      <c r="Q8" s="2" t="s">
        <v>26</v>
      </c>
      <c r="R8" s="2" t="s">
        <v>27</v>
      </c>
      <c r="S8" s="2" t="s">
        <v>28</v>
      </c>
    </row>
    <row r="9" spans="1:19" x14ac:dyDescent="0.3">
      <c r="A9" s="3">
        <v>44257</v>
      </c>
      <c r="B9" t="s">
        <v>29</v>
      </c>
      <c r="C9" t="s">
        <v>30</v>
      </c>
      <c r="D9" t="s">
        <v>31</v>
      </c>
      <c r="E9">
        <v>33000</v>
      </c>
      <c r="K9">
        <v>33000</v>
      </c>
      <c r="N9">
        <v>33900</v>
      </c>
      <c r="O9">
        <v>33900</v>
      </c>
    </row>
    <row r="10" spans="1:19" x14ac:dyDescent="0.3">
      <c r="A10" s="3">
        <v>44263</v>
      </c>
      <c r="B10" t="s">
        <v>29</v>
      </c>
      <c r="C10" t="s">
        <v>32</v>
      </c>
      <c r="D10" t="s">
        <v>31</v>
      </c>
      <c r="E10">
        <v>31000</v>
      </c>
      <c r="G10">
        <v>31000</v>
      </c>
      <c r="N10">
        <v>31180</v>
      </c>
      <c r="O10">
        <v>31180</v>
      </c>
    </row>
    <row r="11" spans="1:19" x14ac:dyDescent="0.3">
      <c r="A11" s="3">
        <v>44264</v>
      </c>
      <c r="B11" t="s">
        <v>29</v>
      </c>
      <c r="C11" t="s">
        <v>33</v>
      </c>
      <c r="D11" t="s">
        <v>31</v>
      </c>
      <c r="E11">
        <v>11000</v>
      </c>
      <c r="F11">
        <v>11000</v>
      </c>
      <c r="N11">
        <v>11740</v>
      </c>
      <c r="O11">
        <v>11000</v>
      </c>
      <c r="P11">
        <v>740</v>
      </c>
    </row>
    <row r="12" spans="1:19" x14ac:dyDescent="0.3">
      <c r="A12" s="3">
        <v>44267</v>
      </c>
      <c r="B12" t="s">
        <v>29</v>
      </c>
      <c r="C12" t="s">
        <v>34</v>
      </c>
      <c r="D12" t="s">
        <v>35</v>
      </c>
      <c r="N12">
        <v>-150</v>
      </c>
      <c r="R12">
        <v>-150</v>
      </c>
    </row>
    <row r="13" spans="1:19" x14ac:dyDescent="0.3">
      <c r="A13" s="3">
        <v>44267</v>
      </c>
      <c r="B13" t="s">
        <v>29</v>
      </c>
      <c r="C13" t="s">
        <v>36</v>
      </c>
      <c r="D13" t="s">
        <v>35</v>
      </c>
      <c r="N13">
        <v>-890</v>
      </c>
      <c r="R13">
        <v>-890</v>
      </c>
    </row>
    <row r="14" spans="1:19" x14ac:dyDescent="0.3">
      <c r="A14" s="3">
        <v>44267</v>
      </c>
      <c r="B14" t="s">
        <v>29</v>
      </c>
      <c r="C14" t="s">
        <v>37</v>
      </c>
      <c r="D14" t="s">
        <v>35</v>
      </c>
      <c r="N14">
        <v>-590</v>
      </c>
      <c r="R14">
        <v>-590</v>
      </c>
    </row>
    <row r="15" spans="1:19" x14ac:dyDescent="0.3">
      <c r="A15" s="3">
        <v>44267</v>
      </c>
      <c r="B15" t="s">
        <v>29</v>
      </c>
      <c r="C15" t="s">
        <v>38</v>
      </c>
      <c r="D15" t="s">
        <v>35</v>
      </c>
      <c r="N15">
        <v>-600</v>
      </c>
      <c r="R15">
        <v>-600</v>
      </c>
    </row>
    <row r="16" spans="1:19" x14ac:dyDescent="0.3">
      <c r="A16" s="3">
        <v>44267</v>
      </c>
      <c r="B16" t="s">
        <v>29</v>
      </c>
      <c r="C16" t="s">
        <v>39</v>
      </c>
      <c r="D16" t="s">
        <v>35</v>
      </c>
      <c r="N16">
        <v>-220</v>
      </c>
      <c r="R16">
        <v>-220</v>
      </c>
    </row>
    <row r="17" spans="1:18" x14ac:dyDescent="0.3">
      <c r="A17" s="3">
        <v>44267</v>
      </c>
      <c r="B17" t="s">
        <v>29</v>
      </c>
      <c r="C17" t="s">
        <v>30</v>
      </c>
      <c r="D17" t="s">
        <v>35</v>
      </c>
      <c r="E17">
        <v>3000</v>
      </c>
      <c r="M17">
        <v>3000</v>
      </c>
      <c r="N17">
        <v>3000</v>
      </c>
      <c r="Q17">
        <v>3000</v>
      </c>
    </row>
    <row r="18" spans="1:18" x14ac:dyDescent="0.3">
      <c r="A18" s="3">
        <v>44267</v>
      </c>
      <c r="B18" t="s">
        <v>29</v>
      </c>
      <c r="C18" t="s">
        <v>40</v>
      </c>
      <c r="D18" t="s">
        <v>35</v>
      </c>
      <c r="N18">
        <v>-550</v>
      </c>
      <c r="R18">
        <v>-550</v>
      </c>
    </row>
    <row r="19" spans="1:18" x14ac:dyDescent="0.3">
      <c r="A19" s="3">
        <v>44270</v>
      </c>
      <c r="B19" t="s">
        <v>29</v>
      </c>
      <c r="C19" t="s">
        <v>41</v>
      </c>
      <c r="D19" t="s">
        <v>31</v>
      </c>
      <c r="E19">
        <v>29000</v>
      </c>
      <c r="I19">
        <v>29000</v>
      </c>
      <c r="N19">
        <v>35720</v>
      </c>
      <c r="O19">
        <v>29000</v>
      </c>
      <c r="P19">
        <v>5780</v>
      </c>
    </row>
    <row r="20" spans="1:18" x14ac:dyDescent="0.3">
      <c r="A20" s="3">
        <v>44274</v>
      </c>
      <c r="B20" t="s">
        <v>42</v>
      </c>
      <c r="C20" t="s">
        <v>43</v>
      </c>
      <c r="D20" t="s">
        <v>35</v>
      </c>
      <c r="N20">
        <v>-350</v>
      </c>
      <c r="R20">
        <v>-350</v>
      </c>
    </row>
    <row r="21" spans="1:18" x14ac:dyDescent="0.3">
      <c r="A21" s="3">
        <v>44274</v>
      </c>
      <c r="B21" t="s">
        <v>42</v>
      </c>
      <c r="C21" t="s">
        <v>44</v>
      </c>
      <c r="D21" t="s">
        <v>35</v>
      </c>
      <c r="E21">
        <v>1000</v>
      </c>
      <c r="M21">
        <v>1000</v>
      </c>
      <c r="N21">
        <v>1000</v>
      </c>
      <c r="Q21">
        <v>1000</v>
      </c>
    </row>
    <row r="22" spans="1:18" x14ac:dyDescent="0.3">
      <c r="A22" s="3">
        <v>44274</v>
      </c>
      <c r="B22" t="s">
        <v>42</v>
      </c>
      <c r="C22" t="s">
        <v>45</v>
      </c>
      <c r="D22" t="s">
        <v>35</v>
      </c>
      <c r="N22">
        <v>-650</v>
      </c>
      <c r="R22">
        <v>-650</v>
      </c>
    </row>
    <row r="23" spans="1:18" x14ac:dyDescent="0.3">
      <c r="A23" s="3">
        <v>44277</v>
      </c>
      <c r="B23" t="s">
        <v>29</v>
      </c>
      <c r="C23" t="s">
        <v>46</v>
      </c>
      <c r="D23" t="s">
        <v>31</v>
      </c>
      <c r="E23">
        <v>27000</v>
      </c>
      <c r="H23">
        <v>27000</v>
      </c>
      <c r="N23">
        <v>35830</v>
      </c>
      <c r="O23">
        <v>27560</v>
      </c>
      <c r="P23">
        <v>6190</v>
      </c>
    </row>
    <row r="24" spans="1:18" x14ac:dyDescent="0.3">
      <c r="A24" s="3">
        <v>44278</v>
      </c>
      <c r="B24" t="s">
        <v>29</v>
      </c>
      <c r="C24" t="s">
        <v>47</v>
      </c>
      <c r="D24" t="s">
        <v>31</v>
      </c>
      <c r="E24">
        <v>9000</v>
      </c>
      <c r="J24">
        <v>9000</v>
      </c>
      <c r="N24">
        <v>13490</v>
      </c>
      <c r="O24">
        <v>9500</v>
      </c>
      <c r="P24">
        <v>2620</v>
      </c>
    </row>
    <row r="25" spans="1:18" x14ac:dyDescent="0.3">
      <c r="A25" s="3">
        <v>44281</v>
      </c>
      <c r="B25" t="s">
        <v>29</v>
      </c>
      <c r="C25" t="s">
        <v>33</v>
      </c>
      <c r="D25" t="s">
        <v>31</v>
      </c>
      <c r="E25">
        <v>1000</v>
      </c>
      <c r="F25">
        <v>1000</v>
      </c>
      <c r="N25">
        <v>1000</v>
      </c>
    </row>
    <row r="26" spans="1:18" x14ac:dyDescent="0.3">
      <c r="A26" s="3">
        <v>44281</v>
      </c>
      <c r="B26" t="s">
        <v>29</v>
      </c>
      <c r="C26" t="s">
        <v>32</v>
      </c>
      <c r="D26" t="s">
        <v>31</v>
      </c>
      <c r="E26">
        <v>1000</v>
      </c>
      <c r="G26">
        <v>1000</v>
      </c>
      <c r="N26">
        <v>1000</v>
      </c>
    </row>
    <row r="27" spans="1:18" x14ac:dyDescent="0.3">
      <c r="A27" s="3">
        <v>44281</v>
      </c>
      <c r="B27" t="s">
        <v>29</v>
      </c>
      <c r="C27" t="s">
        <v>30</v>
      </c>
      <c r="D27" t="s">
        <v>31</v>
      </c>
      <c r="E27">
        <v>4000</v>
      </c>
      <c r="K27">
        <v>4000</v>
      </c>
      <c r="N27">
        <v>4000</v>
      </c>
    </row>
    <row r="28" spans="1:18" x14ac:dyDescent="0.3">
      <c r="A28" s="3"/>
    </row>
    <row r="29" spans="1:18" x14ac:dyDescent="0.3">
      <c r="A29" s="4" t="s">
        <v>48</v>
      </c>
      <c r="B29">
        <f>GetPrice("005930")</f>
        <v>71600</v>
      </c>
    </row>
    <row r="30" spans="1:18" x14ac:dyDescent="0.3">
      <c r="A30" s="3"/>
    </row>
    <row r="31" spans="1:18" x14ac:dyDescent="0.3">
      <c r="A31" s="3"/>
    </row>
    <row r="32" spans="1:18" x14ac:dyDescent="0.3">
      <c r="A32" s="3"/>
    </row>
    <row r="33" spans="1:1" x14ac:dyDescent="0.3">
      <c r="A33" s="3"/>
    </row>
    <row r="34" spans="1:1" x14ac:dyDescent="0.3">
      <c r="A34" s="3"/>
    </row>
    <row r="35" spans="1:1" x14ac:dyDescent="0.3">
      <c r="A35" s="3"/>
    </row>
    <row r="36" spans="1:1" x14ac:dyDescent="0.3">
      <c r="A36" s="3"/>
    </row>
    <row r="37" spans="1:1" x14ac:dyDescent="0.3">
      <c r="A37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  <row r="92" spans="1:1" x14ac:dyDescent="0.3">
      <c r="A92" s="3"/>
    </row>
    <row r="93" spans="1:1" x14ac:dyDescent="0.3">
      <c r="A93" s="3"/>
    </row>
    <row r="94" spans="1:1" x14ac:dyDescent="0.3">
      <c r="A94" s="3"/>
    </row>
    <row r="95" spans="1:1" x14ac:dyDescent="0.3">
      <c r="A95" s="3"/>
    </row>
    <row r="96" spans="1:1" x14ac:dyDescent="0.3">
      <c r="A96" s="3"/>
    </row>
    <row r="97" spans="1:1" x14ac:dyDescent="0.3">
      <c r="A97" s="3"/>
    </row>
    <row r="98" spans="1:1" x14ac:dyDescent="0.3">
      <c r="A98" s="3"/>
    </row>
    <row r="99" spans="1:1" x14ac:dyDescent="0.3">
      <c r="A99" s="3"/>
    </row>
    <row r="100" spans="1:1" x14ac:dyDescent="0.3">
      <c r="A100" s="3"/>
    </row>
    <row r="101" spans="1:1" x14ac:dyDescent="0.3">
      <c r="A101" s="3"/>
    </row>
    <row r="102" spans="1:1" x14ac:dyDescent="0.3">
      <c r="A102" s="3"/>
    </row>
    <row r="103" spans="1:1" x14ac:dyDescent="0.3">
      <c r="A103" s="3"/>
    </row>
    <row r="104" spans="1:1" x14ac:dyDescent="0.3">
      <c r="A104" s="3"/>
    </row>
    <row r="105" spans="1:1" x14ac:dyDescent="0.3">
      <c r="A105" s="3"/>
    </row>
    <row r="106" spans="1:1" x14ac:dyDescent="0.3">
      <c r="A106" s="3"/>
    </row>
    <row r="107" spans="1:1" x14ac:dyDescent="0.3">
      <c r="A107" s="3"/>
    </row>
    <row r="108" spans="1:1" x14ac:dyDescent="0.3">
      <c r="A108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dcterms:created xsi:type="dcterms:W3CDTF">2021-10-07T06:12:25Z</dcterms:created>
  <dcterms:modified xsi:type="dcterms:W3CDTF">2021-10-07T08:21:55Z</dcterms:modified>
</cp:coreProperties>
</file>